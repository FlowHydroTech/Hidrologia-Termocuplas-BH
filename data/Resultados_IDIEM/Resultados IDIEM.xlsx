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03.2 Proyectos MLP3\MLP-OT010_MC y MN Tranque Quillayes\03.WIP\05.Terreno\7. Resultados IDIEM\"/>
    </mc:Choice>
  </mc:AlternateContent>
  <xr:revisionPtr revIDLastSave="0" documentId="13_ncr:1_{2B23FBB3-E4C0-4883-90E4-3961A8A28CFE}" xr6:coauthVersionLast="47" xr6:coauthVersionMax="47" xr10:uidLastSave="{00000000-0000-0000-0000-000000000000}"/>
  <bookViews>
    <workbookView xWindow="-108" yWindow="-108" windowWidth="23256" windowHeight="12456" xr2:uid="{4D9AA0EB-E5B7-4DA9-9823-F0675D8624E9}"/>
  </bookViews>
  <sheets>
    <sheet name="Resumen resultados" sheetId="1" r:id="rId1"/>
    <sheet name="Granulometrí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3" i="1"/>
  <c r="K4" i="1"/>
  <c r="K5" i="1"/>
  <c r="K6" i="1"/>
  <c r="K7" i="1"/>
  <c r="K3" i="1"/>
  <c r="J4" i="1"/>
  <c r="J5" i="1"/>
  <c r="J6" i="1"/>
  <c r="J7" i="1"/>
  <c r="J3" i="1"/>
  <c r="M4" i="1"/>
  <c r="M5" i="1"/>
  <c r="M6" i="1"/>
  <c r="M7" i="1"/>
  <c r="M3" i="1"/>
  <c r="I4" i="1"/>
  <c r="I5" i="1"/>
  <c r="I6" i="1"/>
  <c r="I7" i="1"/>
  <c r="I3" i="1"/>
  <c r="F5" i="1"/>
  <c r="F4" i="1"/>
  <c r="F3" i="1"/>
  <c r="F7" i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tc={C7759C33-D03B-48D6-9FFB-2E2981E01CD0}</author>
    <author>tc={D317DDC5-86B9-4C8C-8EAA-2B5C43BAA4A2}</author>
    <author>tc={EF8D80F1-9604-49D6-A6EF-4871EFD37381}</author>
    <author>tc={1C901539-32CA-448E-B481-A5B90144C3D6}</author>
    <author>tc={5D5FA0E5-1017-4D56-BA9A-60A34D16FFD1}</author>
    <author>tc={F1AA7E24-63F2-4622-91AF-E02024A9331D}</author>
  </authors>
  <commentList>
    <comment ref="B2" authorId="0" shapeId="0" xr:uid="{C7759C33-D03B-48D6-9FFB-2E2981E01C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Usar densidad reportada por ensayo específico de densidad? O densidad registrada para el ensayo térmico?</t>
      </text>
    </comment>
    <comment ref="F2" authorId="1" shapeId="0" xr:uid="{D317DDC5-86B9-4C8C-8EAA-2B5C43BAA4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Usada para QAQC con gradiente hidraulico de Divers</t>
      </text>
    </comment>
    <comment ref="I2" authorId="2" shapeId="0" xr:uid="{EF8D80F1-9604-49D6-A6EF-4871EFD373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Usar seca o húmeda? Estos rangos son muy bajos para los recomendados por el VFLUX. Los húmedos suben un poco (pero aún bajos).</t>
      </text>
    </comment>
    <comment ref="L2" authorId="3" shapeId="0" xr:uid="{1C901539-32CA-448E-B481-A5B90144C3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Valores altos comparados con los sugeridos por VFLUX</t>
      </text>
    </comment>
    <comment ref="N2" authorId="4" shapeId="0" xr:uid="{5D5FA0E5-1017-4D56-BA9A-60A34D16FF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Calculada asumiendo porosidad total = 0,37, y usando la permeabilidad vertical del lab</t>
      </text>
    </comment>
    <comment ref="O2" authorId="5" shapeId="0" xr:uid="{F1AA7E24-63F2-4622-91AF-E02024A933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Formulas empiricas que estiman disp term según granulometrias, asumiendo que el flujo vertical es bajo y lento, y que predomina la difusion mas que la dispersion</t>
      </text>
    </comment>
  </commentList>
</comments>
</file>

<file path=xl/sharedStrings.xml><?xml version="1.0" encoding="utf-8"?>
<sst xmlns="http://schemas.openxmlformats.org/spreadsheetml/2006/main" count="106" uniqueCount="89">
  <si>
    <t>Resumen resultados Ensayos IDIEM OT-10 Termocuplas</t>
  </si>
  <si>
    <t>Muestra</t>
  </si>
  <si>
    <t>TC-1</t>
  </si>
  <si>
    <t>TC-2</t>
  </si>
  <si>
    <t>TC-3</t>
  </si>
  <si>
    <t>TC-4</t>
  </si>
  <si>
    <t>TC-5</t>
  </si>
  <si>
    <t>Difusividad Térmica "D" (mm2/s)</t>
  </si>
  <si>
    <r>
      <rPr>
        <b/>
        <sz val="8"/>
        <rFont val="Arial"/>
        <family val="2"/>
      </rPr>
      <t>% en peso que pasa</t>
    </r>
  </si>
  <si>
    <r>
      <rPr>
        <sz val="8"/>
        <rFont val="Sans Serif Collection"/>
        <family val="2"/>
      </rPr>
      <t>2 1/2"</t>
    </r>
  </si>
  <si>
    <r>
      <rPr>
        <sz val="8"/>
        <rFont val="Sans Serif Collection"/>
        <family val="2"/>
      </rPr>
      <t>2"</t>
    </r>
  </si>
  <si>
    <r>
      <rPr>
        <sz val="8"/>
        <rFont val="Sans Serif Collection"/>
        <family val="2"/>
      </rPr>
      <t>1 1/2"</t>
    </r>
  </si>
  <si>
    <r>
      <rPr>
        <sz val="8"/>
        <rFont val="Sans Serif Collection"/>
        <family val="2"/>
      </rPr>
      <t>1"</t>
    </r>
  </si>
  <si>
    <r>
      <rPr>
        <sz val="8"/>
        <rFont val="Sans Serif Collection"/>
        <family val="2"/>
      </rPr>
      <t>3/4"</t>
    </r>
  </si>
  <si>
    <r>
      <rPr>
        <sz val="8"/>
        <rFont val="Sans Serif Collection"/>
        <family val="2"/>
      </rPr>
      <t>3/8"</t>
    </r>
  </si>
  <si>
    <r>
      <rPr>
        <sz val="8"/>
        <rFont val="Sans Serif Collection"/>
        <family val="2"/>
      </rPr>
      <t>Nº   4</t>
    </r>
  </si>
  <si>
    <r>
      <rPr>
        <sz val="8"/>
        <rFont val="Sans Serif Collection"/>
        <family val="2"/>
      </rPr>
      <t>Nº  10</t>
    </r>
  </si>
  <si>
    <r>
      <rPr>
        <sz val="8"/>
        <rFont val="Sans Serif Collection"/>
        <family val="2"/>
      </rPr>
      <t>Nº  20</t>
    </r>
  </si>
  <si>
    <r>
      <rPr>
        <sz val="8"/>
        <rFont val="Sans Serif Collection"/>
        <family val="2"/>
      </rPr>
      <t>Nº  40</t>
    </r>
  </si>
  <si>
    <r>
      <rPr>
        <sz val="8"/>
        <rFont val="Sans Serif Collection"/>
        <family val="2"/>
      </rPr>
      <t>Nº  60</t>
    </r>
  </si>
  <si>
    <r>
      <rPr>
        <sz val="8"/>
        <rFont val="Sans Serif Collection"/>
        <family val="2"/>
      </rPr>
      <t>Nº 140</t>
    </r>
  </si>
  <si>
    <r>
      <rPr>
        <sz val="8"/>
        <rFont val="Sans Serif Collection"/>
        <family val="2"/>
      </rPr>
      <t>Nº 200</t>
    </r>
  </si>
  <si>
    <t>TC1</t>
  </si>
  <si>
    <t>TC4</t>
  </si>
  <si>
    <t>TC2</t>
  </si>
  <si>
    <t>TC3</t>
  </si>
  <si>
    <t>TC5</t>
  </si>
  <si>
    <r>
      <rPr>
        <b/>
        <sz val="8"/>
        <rFont val="Arial"/>
        <family val="2"/>
      </rPr>
      <t>Tamaño de
Partícula, mm</t>
    </r>
  </si>
  <si>
    <r>
      <rPr>
        <b/>
        <sz val="8"/>
        <rFont val="Arial"/>
        <family val="2"/>
      </rPr>
      <t>Designación
Malla o Criba</t>
    </r>
  </si>
  <si>
    <t>Densidad seca (g/cm3)</t>
  </si>
  <si>
    <t>Conductividad termica "K" (W/m*K)</t>
  </si>
  <si>
    <t>Permeabilidad vertical (m/d)</t>
  </si>
  <si>
    <t>Unidades para VFLUX</t>
  </si>
  <si>
    <t>Densidad seca (kg/m3)</t>
  </si>
  <si>
    <t xml:space="preserve">Capacidad de calor especifico "C" 
(capacidad calorifica volumétrica)
(MJ/m3*K) </t>
  </si>
  <si>
    <t>Calsificación USCS</t>
  </si>
  <si>
    <t>Porosidad bibliográfica</t>
  </si>
  <si>
    <t>Cu</t>
  </si>
  <si>
    <t>Cc</t>
  </si>
  <si>
    <t>Clasificación USCS</t>
  </si>
  <si>
    <t>Clasificacion USCS (segun norma ASTM D2487)</t>
  </si>
  <si>
    <t>*Como el informe no incluye límites de Atterberg, los finos se asumieron limosos (M).</t>
  </si>
  <si>
    <t>% Pasa #200 (0,075 mm)</t>
  </si>
  <si>
    <t>D10 (mm)</t>
  </si>
  <si>
    <t>D30 (mm)</t>
  </si>
  <si>
    <t>D60 (mm)</t>
  </si>
  <si>
    <t>6.1 %</t>
  </si>
  <si>
    <t>0.15</t>
  </si>
  <si>
    <t>0.65</t>
  </si>
  <si>
    <t>3.25</t>
  </si>
  <si>
    <t>22.35</t>
  </si>
  <si>
    <t>54.2 %</t>
  </si>
  <si>
    <t>—</t>
  </si>
  <si>
    <t>0.095</t>
  </si>
  <si>
    <t>8.8 %</t>
  </si>
  <si>
    <t>0.11</t>
  </si>
  <si>
    <t>0.58</t>
  </si>
  <si>
    <t>2.63</t>
  </si>
  <si>
    <t>23.88</t>
  </si>
  <si>
    <t>5.4 %</t>
  </si>
  <si>
    <t>0.25</t>
  </si>
  <si>
    <t>1.33</t>
  </si>
  <si>
    <t>9.69</t>
  </si>
  <si>
    <t>38.78</t>
  </si>
  <si>
    <t>10.1 %</t>
  </si>
  <si>
    <t>0.07</t>
  </si>
  <si>
    <t>0.32</t>
  </si>
  <si>
    <t>1.30</t>
  </si>
  <si>
    <t>17.63</t>
  </si>
  <si>
    <t>Descripción</t>
  </si>
  <si>
    <t>0.89</t>
  </si>
  <si>
    <t>SP–SM</t>
  </si>
  <si>
    <t>Arena mal gradada con limo</t>
  </si>
  <si>
    <t>SM</t>
  </si>
  <si>
    <t>Arena limosa</t>
  </si>
  <si>
    <t>1.16</t>
  </si>
  <si>
    <t>SW–SM</t>
  </si>
  <si>
    <t>Arena bien gradada con limo</t>
  </si>
  <si>
    <t>0.73</t>
  </si>
  <si>
    <t>GP–GM</t>
  </si>
  <si>
    <t>Grava mal gradada con limo</t>
  </si>
  <si>
    <t>1.05</t>
  </si>
  <si>
    <t>Difusividad Térmica "D" (m2/s)</t>
  </si>
  <si>
    <t>Conductividad termica "K" (cal/°C*s*cm)</t>
  </si>
  <si>
    <t xml:space="preserve">Capacidad de calor especifico "C" 
(capacidad calorifica volumétrica)
(cal/cm3*C) </t>
  </si>
  <si>
    <t>Calor específico (J/kg*C)</t>
  </si>
  <si>
    <t>Dispersividad
 térmica (m), según Kv</t>
  </si>
  <si>
    <t>Dispersividad
 térmica (m), según granulometria (d50)</t>
  </si>
  <si>
    <t>Usar esta dispersividad, por ahora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</si>
</sst>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E+00"/>
    <numFmt numFmtId="167" formatCode="0.0000"/>
  </numFmts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Sans Serif Collection"/>
      <family val="2"/>
    </font>
    <font>
      <sz val="8"/>
      <color rgb="FF000000"/>
      <name val="Sans Serif Collection"/>
      <family val="2"/>
    </font>
    <font>
      <b/>
      <sz val="8"/>
      <name val="Arial"/>
      <family val="2"/>
    </font>
    <font>
      <sz val="8"/>
      <color rgb="FFFFFFFF"/>
      <name val="Sans Serif Collection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2" fontId="3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164" fontId="5" fillId="0" borderId="1" xfId="0" applyNumberFormat="1" applyFont="1" applyBorder="1" applyAlignment="1">
      <alignment horizontal="center" vertical="center" shrinkToFit="1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top" shrinkToFit="1"/>
    </xf>
    <xf numFmtId="164" fontId="3" fillId="0" borderId="6" xfId="0" applyNumberFormat="1" applyFont="1" applyBorder="1" applyAlignment="1">
      <alignment horizontal="center" vertical="top" shrinkToFit="1"/>
    </xf>
    <xf numFmtId="164" fontId="5" fillId="0" borderId="7" xfId="0" applyNumberFormat="1" applyFont="1" applyBorder="1" applyAlignment="1">
      <alignment vertical="top" shrinkToFit="1"/>
    </xf>
    <xf numFmtId="164" fontId="3" fillId="0" borderId="7" xfId="0" applyNumberFormat="1" applyFont="1" applyBorder="1" applyAlignment="1">
      <alignment horizontal="center" vertical="center" shrinkToFit="1"/>
    </xf>
    <xf numFmtId="1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0" borderId="10" xfId="0" applyFont="1" applyBorder="1" applyAlignment="1">
      <alignment vertical="top" wrapText="1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5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és Rojas (Flow)" id="{3BF7B47F-41C2-4637-8B47-7F6B0BA37A2F}" userId="S::andres.rojas@flowhydro.cl::b32bc1ea-4997-4622-9509-bbcc6a57552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3-05T15:01:54.62" personId="{3BF7B47F-41C2-4637-8B47-7F6B0BA37A2F}" id="{C7759C33-D03B-48D6-9FFB-2E2981E01CD0}">
    <text>Usar densidad reportada por ensayo específico de densidad? O densidad registrada para el ensayo térmico?</text>
  </threadedComment>
  <threadedComment ref="F2" dT="2026-03-11T15:10:27.10" personId="{3BF7B47F-41C2-4637-8B47-7F6B0BA37A2F}" id="{D317DDC5-86B9-4C8C-8EAA-2B5C43BAA4A2}">
    <text>Usada para QAQC con gradiente hidraulico de Divers</text>
  </threadedComment>
  <threadedComment ref="I2" dT="2026-03-05T14:57:02.56" personId="{3BF7B47F-41C2-4637-8B47-7F6B0BA37A2F}" id="{EF8D80F1-9604-49D6-A6EF-4871EFD37381}">
    <text>Usar seca o húmeda? Estos rangos son muy bajos para los recomendados por el VFLUX. Los húmedos suben un poco (pero aún bajos).</text>
  </threadedComment>
  <threadedComment ref="L2" dT="2026-03-12T14:17:31.92" personId="{3BF7B47F-41C2-4637-8B47-7F6B0BA37A2F}" id="{1C901539-32CA-448E-B481-A5B90144C3D6}">
    <text>Valores altos comparados con los sugeridos por VFLUX</text>
  </threadedComment>
  <threadedComment ref="N2" dT="2026-03-12T14:36:38.16" personId="{3BF7B47F-41C2-4637-8B47-7F6B0BA37A2F}" id="{5D5FA0E5-1017-4D56-BA9A-60A34D16FFD1}">
    <text>Calculada asumiendo porosidad total = 0,37, y usando la permeabilidad vertical del lab</text>
  </threadedComment>
  <threadedComment ref="O2" dT="2026-03-12T14:36:38.16" personId="{3BF7B47F-41C2-4637-8B47-7F6B0BA37A2F}" id="{F1AA7E24-63F2-4622-91AF-E02024A9331D}">
    <text>Formulas empiricas que estiman disp term según granulometrias, asumiendo que el flujo vertical es bajo y lento, y que predomina la difusion mas que la dispersion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B520-F282-4DD4-9F00-389CD7724E44}">
  <dimension ref="A1:O16"/>
  <sheetViews>
    <sheetView tabSelected="1" workbookViewId="0">
      <selection activeCell="N12" sqref="N12"/>
    </sheetView>
  </sheetViews>
  <sheetFormatPr baseColWidth="10" defaultRowHeight="14.4" x14ac:dyDescent="0.3"/>
  <cols>
    <col min="2" max="2" width="12.6640625" customWidth="1"/>
    <col min="3" max="3" width="13.33203125" customWidth="1"/>
    <col min="4" max="4" width="18.5546875" customWidth="1"/>
    <col min="5" max="5" width="11.109375" bestFit="1" customWidth="1"/>
    <col min="6" max="6" width="13.109375" bestFit="1" customWidth="1"/>
    <col min="7" max="7" width="6.33203125" customWidth="1"/>
    <col min="8" max="8" width="8" bestFit="1" customWidth="1"/>
    <col min="9" max="9" width="12.88671875" bestFit="1" customWidth="1"/>
    <col min="10" max="10" width="13.21875" customWidth="1"/>
    <col min="11" max="11" width="18.33203125" bestFit="1" customWidth="1"/>
    <col min="12" max="12" width="14.109375" bestFit="1" customWidth="1"/>
    <col min="13" max="13" width="11.109375" bestFit="1" customWidth="1"/>
    <col min="14" max="14" width="12.33203125" customWidth="1"/>
    <col min="15" max="15" width="17.33203125" customWidth="1"/>
  </cols>
  <sheetData>
    <row r="1" spans="1:15" x14ac:dyDescent="0.3">
      <c r="A1" s="34" t="s">
        <v>0</v>
      </c>
      <c r="B1" s="34"/>
      <c r="C1" s="34"/>
      <c r="D1" s="34"/>
      <c r="E1" s="34"/>
      <c r="F1" s="34"/>
      <c r="H1" s="35" t="s">
        <v>32</v>
      </c>
      <c r="I1" s="36"/>
      <c r="J1" s="36"/>
      <c r="K1" s="36"/>
      <c r="L1" s="36"/>
      <c r="M1" s="36"/>
      <c r="N1" s="36"/>
      <c r="O1" s="36"/>
    </row>
    <row r="2" spans="1:15" ht="72" x14ac:dyDescent="0.3">
      <c r="A2" s="3" t="s">
        <v>1</v>
      </c>
      <c r="B2" s="18" t="s">
        <v>29</v>
      </c>
      <c r="C2" s="25" t="s">
        <v>30</v>
      </c>
      <c r="D2" s="26" t="s">
        <v>34</v>
      </c>
      <c r="E2" s="27" t="s">
        <v>7</v>
      </c>
      <c r="F2" s="23" t="s">
        <v>31</v>
      </c>
      <c r="H2" s="3" t="s">
        <v>1</v>
      </c>
      <c r="I2" s="18" t="s">
        <v>33</v>
      </c>
      <c r="J2" s="25" t="s">
        <v>83</v>
      </c>
      <c r="K2" s="26" t="s">
        <v>84</v>
      </c>
      <c r="L2" s="24" t="s">
        <v>85</v>
      </c>
      <c r="M2" s="27" t="s">
        <v>82</v>
      </c>
      <c r="N2" s="29" t="s">
        <v>86</v>
      </c>
      <c r="O2" s="30" t="s">
        <v>87</v>
      </c>
    </row>
    <row r="3" spans="1:15" x14ac:dyDescent="0.3">
      <c r="A3" s="3" t="s">
        <v>2</v>
      </c>
      <c r="B3" s="2">
        <v>1.1000000000000001</v>
      </c>
      <c r="C3" s="1">
        <v>0.61399999999999999</v>
      </c>
      <c r="D3" s="11">
        <v>3.3889999999999998</v>
      </c>
      <c r="E3" s="1">
        <v>0.20300000000000001</v>
      </c>
      <c r="F3" s="12">
        <f>0.000003*864</f>
        <v>2.5920000000000001E-3</v>
      </c>
      <c r="H3" s="3" t="s">
        <v>2</v>
      </c>
      <c r="I3" s="17">
        <f>B3/1000*1000000</f>
        <v>1100</v>
      </c>
      <c r="J3" s="28">
        <f>C3*0.00239</f>
        <v>1.4674600000000001E-3</v>
      </c>
      <c r="K3" s="11">
        <f>D3*0.239</f>
        <v>0.80997099999999989</v>
      </c>
      <c r="L3" s="17">
        <f>D3*1000000/I3</f>
        <v>3080.909090909091</v>
      </c>
      <c r="M3" s="12">
        <f>E3/1000000</f>
        <v>2.03E-7</v>
      </c>
      <c r="N3" s="1">
        <v>2.5</v>
      </c>
      <c r="O3" s="33">
        <v>0.08</v>
      </c>
    </row>
    <row r="4" spans="1:15" x14ac:dyDescent="0.3">
      <c r="A4" s="3" t="s">
        <v>3</v>
      </c>
      <c r="B4" s="2">
        <v>1.52</v>
      </c>
      <c r="C4" s="1">
        <v>0.25800000000000001</v>
      </c>
      <c r="D4" s="11">
        <v>5.3330000000000002</v>
      </c>
      <c r="E4" s="1">
        <v>4.9000000000000002E-2</v>
      </c>
      <c r="F4" s="12">
        <f>0.0000019*864</f>
        <v>1.6416E-3</v>
      </c>
      <c r="H4" s="3" t="s">
        <v>3</v>
      </c>
      <c r="I4" s="17">
        <f t="shared" ref="I4:I7" si="0">B4/1000*1000000</f>
        <v>1520</v>
      </c>
      <c r="J4" s="28">
        <f t="shared" ref="J4:J7" si="1">C4*0.00239</f>
        <v>6.1662000000000002E-4</v>
      </c>
      <c r="K4" s="11">
        <f t="shared" ref="K4:K7" si="2">D4*0.239</f>
        <v>1.2745869999999999</v>
      </c>
      <c r="L4" s="17">
        <f t="shared" ref="L4:L7" si="3">D4*1000000/I4</f>
        <v>3508.5526315789475</v>
      </c>
      <c r="M4" s="12">
        <f t="shared" ref="M4:M7" si="4">E4/1000000</f>
        <v>4.9000000000000002E-8</v>
      </c>
      <c r="N4" s="1">
        <v>0.98</v>
      </c>
      <c r="O4" s="33">
        <v>4.0000000000000001E-3</v>
      </c>
    </row>
    <row r="5" spans="1:15" x14ac:dyDescent="0.3">
      <c r="A5" s="3" t="s">
        <v>4</v>
      </c>
      <c r="B5" s="2">
        <v>1.39</v>
      </c>
      <c r="C5" s="1">
        <v>0.26500000000000001</v>
      </c>
      <c r="D5" s="11">
        <v>4.867</v>
      </c>
      <c r="E5" s="1">
        <v>5.5E-2</v>
      </c>
      <c r="F5" s="12">
        <f>0.0000067*864</f>
        <v>5.7888000000000002E-3</v>
      </c>
      <c r="H5" s="3" t="s">
        <v>4</v>
      </c>
      <c r="I5" s="17">
        <f t="shared" si="0"/>
        <v>1390</v>
      </c>
      <c r="J5" s="28">
        <f t="shared" si="1"/>
        <v>6.3335000000000008E-4</v>
      </c>
      <c r="K5" s="11">
        <f t="shared" si="2"/>
        <v>1.1632130000000001</v>
      </c>
      <c r="L5" s="17">
        <f t="shared" si="3"/>
        <v>3501.4388489208632</v>
      </c>
      <c r="M5" s="12">
        <f t="shared" si="4"/>
        <v>5.5000000000000003E-8</v>
      </c>
      <c r="N5" s="1">
        <v>0.31</v>
      </c>
      <c r="O5" s="33">
        <v>7.0000000000000007E-2</v>
      </c>
    </row>
    <row r="6" spans="1:15" x14ac:dyDescent="0.3">
      <c r="A6" s="3" t="s">
        <v>5</v>
      </c>
      <c r="B6" s="2">
        <v>1.37</v>
      </c>
      <c r="C6" s="1">
        <v>0.66600000000000004</v>
      </c>
      <c r="D6" s="11">
        <v>2.3420000000000001</v>
      </c>
      <c r="E6" s="1">
        <v>0.313</v>
      </c>
      <c r="F6" s="12">
        <f>0.0009*864</f>
        <v>0.77759999999999996</v>
      </c>
      <c r="H6" s="3" t="s">
        <v>5</v>
      </c>
      <c r="I6" s="17">
        <f t="shared" si="0"/>
        <v>1370.0000000000002</v>
      </c>
      <c r="J6" s="28">
        <f t="shared" si="1"/>
        <v>1.5917400000000001E-3</v>
      </c>
      <c r="K6" s="11">
        <f t="shared" si="2"/>
        <v>0.55973799999999996</v>
      </c>
      <c r="L6" s="17">
        <f t="shared" si="3"/>
        <v>1709.4890510948903</v>
      </c>
      <c r="M6" s="12">
        <f t="shared" si="4"/>
        <v>3.1300000000000001E-7</v>
      </c>
      <c r="N6" s="1">
        <v>1.2999999999999999E-2</v>
      </c>
      <c r="O6" s="33">
        <v>0.2</v>
      </c>
    </row>
    <row r="7" spans="1:15" x14ac:dyDescent="0.3">
      <c r="A7" s="3" t="s">
        <v>6</v>
      </c>
      <c r="B7" s="1">
        <v>1.22</v>
      </c>
      <c r="C7" s="1">
        <v>0.57799999999999996</v>
      </c>
      <c r="D7" s="11">
        <v>2.69</v>
      </c>
      <c r="E7" s="1">
        <v>0.224</v>
      </c>
      <c r="F7" s="12">
        <f>0.0000036*864</f>
        <v>3.1103999999999997E-3</v>
      </c>
      <c r="H7" s="3" t="s">
        <v>6</v>
      </c>
      <c r="I7" s="17">
        <f t="shared" si="0"/>
        <v>1220</v>
      </c>
      <c r="J7" s="28">
        <f t="shared" si="1"/>
        <v>1.38142E-3</v>
      </c>
      <c r="K7" s="11">
        <f t="shared" si="2"/>
        <v>0.64290999999999998</v>
      </c>
      <c r="L7" s="17">
        <f t="shared" si="3"/>
        <v>2204.9180327868853</v>
      </c>
      <c r="M7" s="12">
        <f t="shared" si="4"/>
        <v>2.2399999999999999E-7</v>
      </c>
      <c r="N7" s="1">
        <v>2.2999999999999998</v>
      </c>
      <c r="O7" s="33">
        <v>3.5000000000000003E-2</v>
      </c>
    </row>
    <row r="8" spans="1:15" ht="43.2" x14ac:dyDescent="0.3">
      <c r="O8" s="45" t="s">
        <v>88</v>
      </c>
    </row>
    <row r="9" spans="1:15" x14ac:dyDescent="0.3">
      <c r="E9" s="22"/>
    </row>
    <row r="11" spans="1:15" x14ac:dyDescent="0.3">
      <c r="H11" s="31"/>
      <c r="I11" s="31"/>
    </row>
    <row r="12" spans="1:15" x14ac:dyDescent="0.3">
      <c r="H12" s="32"/>
      <c r="I12" s="32"/>
    </row>
    <row r="13" spans="1:15" x14ac:dyDescent="0.3">
      <c r="H13" s="32"/>
      <c r="I13" s="32"/>
    </row>
    <row r="14" spans="1:15" x14ac:dyDescent="0.3">
      <c r="H14" s="32"/>
      <c r="I14" s="32"/>
    </row>
    <row r="15" spans="1:15" x14ac:dyDescent="0.3">
      <c r="H15" s="32"/>
      <c r="I15" s="32"/>
    </row>
    <row r="16" spans="1:15" x14ac:dyDescent="0.3">
      <c r="H16" s="32"/>
      <c r="I16" s="32"/>
    </row>
  </sheetData>
  <mergeCells count="2">
    <mergeCell ref="A1:F1"/>
    <mergeCell ref="H1:O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8ACA-DA1B-4489-A5BC-2FDA3B330405}">
  <dimension ref="A1:AD18"/>
  <sheetViews>
    <sheetView workbookViewId="0">
      <selection activeCell="J12" sqref="J12"/>
    </sheetView>
  </sheetViews>
  <sheetFormatPr baseColWidth="10" defaultRowHeight="14.4" x14ac:dyDescent="0.3"/>
  <cols>
    <col min="1" max="1" width="16.33203125" bestFit="1" customWidth="1"/>
    <col min="8" max="8" width="8.109375" customWidth="1"/>
    <col min="9" max="9" width="8" bestFit="1" customWidth="1"/>
    <col min="10" max="10" width="11.21875" bestFit="1" customWidth="1"/>
    <col min="11" max="13" width="9.33203125" bestFit="1" customWidth="1"/>
    <col min="14" max="14" width="5.5546875" bestFit="1" customWidth="1"/>
    <col min="15" max="15" width="4.5546875" bestFit="1" customWidth="1"/>
    <col min="16" max="16" width="11.33203125" bestFit="1" customWidth="1"/>
    <col min="17" max="17" width="15" bestFit="1" customWidth="1"/>
  </cols>
  <sheetData>
    <row r="1" spans="1:30" ht="14.4" customHeight="1" x14ac:dyDescent="0.3">
      <c r="A1" s="43" t="s">
        <v>27</v>
      </c>
      <c r="B1" s="43" t="s">
        <v>28</v>
      </c>
      <c r="C1" s="42" t="s">
        <v>8</v>
      </c>
      <c r="D1" s="42"/>
      <c r="E1" s="42"/>
      <c r="F1" s="42"/>
      <c r="G1" s="42"/>
      <c r="H1" s="5"/>
      <c r="I1" s="21"/>
      <c r="J1" s="21"/>
      <c r="K1" s="21"/>
      <c r="L1" s="21"/>
      <c r="M1" s="21"/>
      <c r="N1" s="21"/>
      <c r="O1" s="21"/>
      <c r="P1" s="21"/>
      <c r="Q1" s="21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x14ac:dyDescent="0.3">
      <c r="A2" s="44"/>
      <c r="B2" s="44"/>
      <c r="C2" s="3" t="s">
        <v>22</v>
      </c>
      <c r="D2" s="3" t="s">
        <v>24</v>
      </c>
      <c r="E2" s="3" t="s">
        <v>25</v>
      </c>
      <c r="F2" s="3" t="s">
        <v>23</v>
      </c>
      <c r="G2" s="3" t="s">
        <v>26</v>
      </c>
      <c r="I2" s="37" t="s">
        <v>40</v>
      </c>
      <c r="J2" s="37"/>
      <c r="K2" s="37"/>
      <c r="L2" s="37"/>
      <c r="M2" s="37"/>
      <c r="N2" s="37"/>
      <c r="O2" s="37"/>
      <c r="P2" s="37"/>
      <c r="Q2" s="37"/>
    </row>
    <row r="3" spans="1:30" ht="31.8" x14ac:dyDescent="0.3">
      <c r="A3" s="7">
        <v>63.5</v>
      </c>
      <c r="B3" s="8" t="s">
        <v>9</v>
      </c>
      <c r="C3" s="9">
        <v>100</v>
      </c>
      <c r="D3" s="13">
        <v>100</v>
      </c>
      <c r="E3" s="15">
        <v>100</v>
      </c>
      <c r="F3" s="10">
        <v>100</v>
      </c>
      <c r="G3" s="10">
        <v>100</v>
      </c>
      <c r="I3" s="4" t="s">
        <v>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37</v>
      </c>
      <c r="O3" s="4" t="s">
        <v>38</v>
      </c>
      <c r="P3" s="4" t="s">
        <v>39</v>
      </c>
      <c r="Q3" s="4" t="s">
        <v>69</v>
      </c>
    </row>
    <row r="4" spans="1:30" ht="31.8" x14ac:dyDescent="0.3">
      <c r="A4" s="7">
        <v>50.8</v>
      </c>
      <c r="B4" s="8" t="s">
        <v>10</v>
      </c>
      <c r="C4" s="9">
        <v>97.4</v>
      </c>
      <c r="D4" s="13">
        <v>100</v>
      </c>
      <c r="E4" s="16">
        <v>100</v>
      </c>
      <c r="F4" s="9">
        <v>100</v>
      </c>
      <c r="G4" s="10">
        <v>100</v>
      </c>
      <c r="I4" s="4" t="s">
        <v>22</v>
      </c>
      <c r="J4" s="20" t="s">
        <v>46</v>
      </c>
      <c r="K4" s="20" t="s">
        <v>47</v>
      </c>
      <c r="L4" s="20" t="s">
        <v>48</v>
      </c>
      <c r="M4" s="20" t="s">
        <v>49</v>
      </c>
      <c r="N4" s="20" t="s">
        <v>50</v>
      </c>
      <c r="O4" s="20" t="s">
        <v>70</v>
      </c>
      <c r="P4" s="4" t="s">
        <v>71</v>
      </c>
      <c r="Q4" s="20" t="s">
        <v>72</v>
      </c>
    </row>
    <row r="5" spans="1:30" ht="31.8" x14ac:dyDescent="0.3">
      <c r="A5" s="7">
        <v>38.1</v>
      </c>
      <c r="B5" s="8" t="s">
        <v>11</v>
      </c>
      <c r="C5" s="9">
        <v>97.4</v>
      </c>
      <c r="D5" s="13">
        <v>100</v>
      </c>
      <c r="E5" s="16">
        <v>98.9</v>
      </c>
      <c r="F5" s="9">
        <v>94.7</v>
      </c>
      <c r="G5" s="10">
        <v>100</v>
      </c>
      <c r="I5" s="4" t="s">
        <v>24</v>
      </c>
      <c r="J5" s="20" t="s">
        <v>51</v>
      </c>
      <c r="K5" s="20" t="s">
        <v>52</v>
      </c>
      <c r="L5" s="20" t="s">
        <v>52</v>
      </c>
      <c r="M5" s="20" t="s">
        <v>53</v>
      </c>
      <c r="N5" s="20" t="s">
        <v>52</v>
      </c>
      <c r="O5" s="20" t="s">
        <v>52</v>
      </c>
      <c r="P5" s="4" t="s">
        <v>73</v>
      </c>
      <c r="Q5" s="20" t="s">
        <v>74</v>
      </c>
    </row>
    <row r="6" spans="1:30" ht="31.8" x14ac:dyDescent="0.3">
      <c r="A6" s="7">
        <v>25.4</v>
      </c>
      <c r="B6" s="8" t="s">
        <v>12</v>
      </c>
      <c r="C6" s="9">
        <v>93.3</v>
      </c>
      <c r="D6" s="14">
        <v>100</v>
      </c>
      <c r="E6" s="16">
        <v>97.6</v>
      </c>
      <c r="F6" s="9">
        <v>84.3</v>
      </c>
      <c r="G6" s="9">
        <v>100</v>
      </c>
      <c r="I6" s="4" t="s">
        <v>25</v>
      </c>
      <c r="J6" s="20" t="s">
        <v>54</v>
      </c>
      <c r="K6" s="20" t="s">
        <v>55</v>
      </c>
      <c r="L6" s="20" t="s">
        <v>56</v>
      </c>
      <c r="M6" s="20" t="s">
        <v>57</v>
      </c>
      <c r="N6" s="20" t="s">
        <v>58</v>
      </c>
      <c r="O6" s="20" t="s">
        <v>75</v>
      </c>
      <c r="P6" s="4" t="s">
        <v>76</v>
      </c>
      <c r="Q6" s="20" t="s">
        <v>77</v>
      </c>
    </row>
    <row r="7" spans="1:30" ht="31.8" x14ac:dyDescent="0.3">
      <c r="A7" s="7">
        <v>19</v>
      </c>
      <c r="B7" s="8" t="s">
        <v>13</v>
      </c>
      <c r="C7" s="9">
        <v>91</v>
      </c>
      <c r="D7" s="14">
        <v>98.3</v>
      </c>
      <c r="E7" s="16">
        <v>95.4</v>
      </c>
      <c r="F7" s="9">
        <v>74.8</v>
      </c>
      <c r="G7" s="9">
        <v>99.7</v>
      </c>
      <c r="I7" s="4" t="s">
        <v>23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78</v>
      </c>
      <c r="P7" s="4" t="s">
        <v>79</v>
      </c>
      <c r="Q7" s="20" t="s">
        <v>80</v>
      </c>
    </row>
    <row r="8" spans="1:30" ht="31.8" x14ac:dyDescent="0.3">
      <c r="A8" s="7">
        <v>9.52</v>
      </c>
      <c r="B8" s="8" t="s">
        <v>14</v>
      </c>
      <c r="C8" s="9">
        <v>80.400000000000006</v>
      </c>
      <c r="D8" s="14">
        <v>94.7</v>
      </c>
      <c r="E8" s="16">
        <v>84.8</v>
      </c>
      <c r="F8" s="9">
        <v>59.6</v>
      </c>
      <c r="G8" s="9">
        <v>96.8</v>
      </c>
      <c r="I8" s="4" t="s">
        <v>26</v>
      </c>
      <c r="J8" s="20" t="s">
        <v>64</v>
      </c>
      <c r="K8" s="20" t="s">
        <v>65</v>
      </c>
      <c r="L8" s="20" t="s">
        <v>66</v>
      </c>
      <c r="M8" s="20" t="s">
        <v>67</v>
      </c>
      <c r="N8" s="20" t="s">
        <v>68</v>
      </c>
      <c r="O8" s="20" t="s">
        <v>81</v>
      </c>
      <c r="P8" s="4" t="s">
        <v>76</v>
      </c>
      <c r="Q8" s="20" t="s">
        <v>77</v>
      </c>
    </row>
    <row r="9" spans="1:30" ht="31.8" x14ac:dyDescent="0.3">
      <c r="A9" s="7">
        <v>4.76</v>
      </c>
      <c r="B9" s="8" t="s">
        <v>15</v>
      </c>
      <c r="C9" s="9">
        <v>66.8</v>
      </c>
      <c r="D9" s="14">
        <v>91</v>
      </c>
      <c r="E9" s="16">
        <v>70.900000000000006</v>
      </c>
      <c r="F9" s="9">
        <v>47</v>
      </c>
      <c r="G9" s="9">
        <v>83.6</v>
      </c>
      <c r="I9" s="38" t="s">
        <v>41</v>
      </c>
      <c r="J9" s="38"/>
      <c r="K9" s="38"/>
      <c r="L9" s="38"/>
      <c r="M9" s="38"/>
      <c r="N9" s="38"/>
      <c r="O9" s="38"/>
      <c r="P9" s="38"/>
      <c r="Q9" s="38"/>
    </row>
    <row r="10" spans="1:30" ht="31.8" x14ac:dyDescent="0.3">
      <c r="A10" s="7">
        <v>2</v>
      </c>
      <c r="B10" s="8" t="s">
        <v>16</v>
      </c>
      <c r="C10" s="9">
        <v>51.4</v>
      </c>
      <c r="D10" s="14">
        <v>86.3</v>
      </c>
      <c r="E10" s="16">
        <v>55</v>
      </c>
      <c r="F10" s="9">
        <v>35.799999999999997</v>
      </c>
      <c r="G10" s="9">
        <v>68.3</v>
      </c>
    </row>
    <row r="11" spans="1:30" ht="31.8" x14ac:dyDescent="0.3">
      <c r="A11" s="7">
        <v>0.84</v>
      </c>
      <c r="B11" s="8" t="s">
        <v>17</v>
      </c>
      <c r="C11" s="9">
        <v>34.5</v>
      </c>
      <c r="D11" s="14">
        <v>82</v>
      </c>
      <c r="E11" s="16">
        <v>38.200000000000003</v>
      </c>
      <c r="F11" s="9">
        <v>23.4</v>
      </c>
      <c r="G11" s="9">
        <v>51.6</v>
      </c>
    </row>
    <row r="12" spans="1:30" ht="31.8" x14ac:dyDescent="0.3">
      <c r="A12" s="7">
        <v>0.42</v>
      </c>
      <c r="B12" s="8" t="s">
        <v>18</v>
      </c>
      <c r="C12" s="9">
        <v>22.4</v>
      </c>
      <c r="D12" s="14">
        <v>79</v>
      </c>
      <c r="E12" s="16">
        <v>22.9</v>
      </c>
      <c r="F12" s="9">
        <v>14.7</v>
      </c>
      <c r="G12" s="9">
        <v>36.4</v>
      </c>
    </row>
    <row r="13" spans="1:30" ht="31.8" x14ac:dyDescent="0.3">
      <c r="A13" s="7">
        <v>0.25</v>
      </c>
      <c r="B13" s="8" t="s">
        <v>19</v>
      </c>
      <c r="C13" s="9">
        <v>14.5</v>
      </c>
      <c r="D13" s="14">
        <v>75.900000000000006</v>
      </c>
      <c r="E13" s="16">
        <v>14.9</v>
      </c>
      <c r="F13" s="9">
        <v>10</v>
      </c>
      <c r="G13" s="9">
        <v>24.5</v>
      </c>
    </row>
    <row r="14" spans="1:30" ht="31.8" x14ac:dyDescent="0.3">
      <c r="A14" s="7">
        <v>0.11</v>
      </c>
      <c r="B14" s="8" t="s">
        <v>20</v>
      </c>
      <c r="C14" s="9">
        <v>7.7</v>
      </c>
      <c r="D14" s="14">
        <v>63.7</v>
      </c>
      <c r="E14" s="16">
        <v>10</v>
      </c>
      <c r="F14" s="9">
        <v>6.4</v>
      </c>
      <c r="G14" s="9">
        <v>13.1</v>
      </c>
    </row>
    <row r="15" spans="1:30" ht="31.8" x14ac:dyDescent="0.3">
      <c r="A15" s="7">
        <v>7.0000000000000007E-2</v>
      </c>
      <c r="B15" s="8" t="s">
        <v>21</v>
      </c>
      <c r="C15" s="9">
        <v>5.8</v>
      </c>
      <c r="D15" s="14">
        <v>52.5</v>
      </c>
      <c r="E15" s="16">
        <v>8.6</v>
      </c>
      <c r="F15" s="9">
        <v>5.2</v>
      </c>
      <c r="G15" s="9">
        <v>9.6</v>
      </c>
    </row>
    <row r="17" spans="1:7" x14ac:dyDescent="0.3">
      <c r="A17" s="39" t="s">
        <v>35</v>
      </c>
      <c r="B17" s="40"/>
      <c r="C17" s="19"/>
      <c r="D17" s="19"/>
      <c r="E17" s="19"/>
      <c r="F17" s="19"/>
      <c r="G17" s="19"/>
    </row>
    <row r="18" spans="1:7" x14ac:dyDescent="0.3">
      <c r="A18" s="41" t="s">
        <v>36</v>
      </c>
      <c r="B18" s="41"/>
      <c r="C18" s="19"/>
      <c r="D18" s="19"/>
      <c r="E18" s="19"/>
      <c r="F18" s="19"/>
      <c r="G18" s="19"/>
    </row>
  </sheetData>
  <mergeCells count="7">
    <mergeCell ref="I2:Q2"/>
    <mergeCell ref="I9:Q9"/>
    <mergeCell ref="A17:B17"/>
    <mergeCell ref="A18:B18"/>
    <mergeCell ref="C1:G1"/>
    <mergeCell ref="A1:A2"/>
    <mergeCell ref="B1:B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resultados</vt:lpstr>
      <vt:lpstr>Granulometrías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Rojas (Flow)</dc:creator>
  <cp:lastModifiedBy>Andrés Rojas (Flow)</cp:lastModifiedBy>
  <dcterms:created xsi:type="dcterms:W3CDTF">2026-02-09T13:30:36Z</dcterms:created>
  <dcterms:modified xsi:type="dcterms:W3CDTF">2026-03-13T15:11:32Z</dcterms:modified>
</cp:coreProperties>
</file>